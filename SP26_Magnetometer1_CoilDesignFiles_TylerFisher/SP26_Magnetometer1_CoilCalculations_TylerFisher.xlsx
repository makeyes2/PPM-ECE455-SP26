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enoid" sheetId="1" r:id="rId5"/>
    <sheet state="visible" name="Toroid" sheetId="2" r:id="rId6"/>
  </sheets>
  <definedNames/>
  <calcPr/>
</workbook>
</file>

<file path=xl/sharedStrings.xml><?xml version="1.0" encoding="utf-8"?>
<sst xmlns="http://schemas.openxmlformats.org/spreadsheetml/2006/main" count="53" uniqueCount="40">
  <si>
    <t>Input Values:</t>
  </si>
  <si>
    <t>Constants</t>
  </si>
  <si>
    <t>Intermediate Values</t>
  </si>
  <si>
    <t>Manuf Estimate:</t>
  </si>
  <si>
    <t>Theoretical:</t>
  </si>
  <si>
    <t>Wire Radius (m)</t>
  </si>
  <si>
    <t>Copper Resistivity</t>
  </si>
  <si>
    <t>Coil Resistance</t>
  </si>
  <si>
    <t>Num Turns (theoretical)</t>
  </si>
  <si>
    <t>Madison Larmor Frequency</t>
  </si>
  <si>
    <t>Solenoid Volume</t>
  </si>
  <si>
    <t>Solenoid Length (m)</t>
  </si>
  <si>
    <t>Mu Naught</t>
  </si>
  <si>
    <t>Filling Factor of Solenoid</t>
  </si>
  <si>
    <t>Solenoid Rad (m)</t>
  </si>
  <si>
    <t>Chi Value DI Water</t>
  </si>
  <si>
    <t>Length of (1) Coil Wire (m)</t>
  </si>
  <si>
    <t>Voltage</t>
  </si>
  <si>
    <t>Bandwidth</t>
  </si>
  <si>
    <t>Outputs Values:</t>
  </si>
  <si>
    <t>Signal Strength (V)</t>
  </si>
  <si>
    <t>Signal Noise (V)</t>
  </si>
  <si>
    <t>S/N Ratio</t>
  </si>
  <si>
    <t>ROUGH ESTIM</t>
  </si>
  <si>
    <t>18 gauge</t>
  </si>
  <si>
    <t>Num Turns</t>
  </si>
  <si>
    <t>Toroid Volume (mL)</t>
  </si>
  <si>
    <t>Toroid L Diam</t>
  </si>
  <si>
    <t>Toroid Cros Rad</t>
  </si>
  <si>
    <t>Length of Wire Coil Approx (m)</t>
  </si>
  <si>
    <t>Magnetic Moment Proton</t>
  </si>
  <si>
    <t>Protons per cubic meter</t>
  </si>
  <si>
    <t>Boltzman's Constant</t>
  </si>
  <si>
    <t>Toroid Wall Wid</t>
  </si>
  <si>
    <t>Water Fluid Density (kg/m3)</t>
  </si>
  <si>
    <t>Fluid Temp (K)</t>
  </si>
  <si>
    <t>Water Atomic Weight (amu)</t>
  </si>
  <si>
    <t>Signal Strength</t>
  </si>
  <si>
    <t>Actual strength is * (2 - sin^2 alpha), this is assuming best case angle</t>
  </si>
  <si>
    <t>Signal Noise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</si>
</sst>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4" xfId="0" applyFont="1" applyNumberFormat="1"/>
    <xf borderId="0" fillId="0" fontId="1" numFmtId="0" xfId="0" applyFont="1"/>
    <xf borderId="0" fillId="0" fontId="1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G1" s="1" t="s">
        <v>2</v>
      </c>
    </row>
    <row r="2">
      <c r="I2" s="1" t="s">
        <v>3</v>
      </c>
      <c r="J2" s="1" t="s">
        <v>4</v>
      </c>
    </row>
    <row r="3">
      <c r="A3" s="1" t="s">
        <v>5</v>
      </c>
      <c r="B3" s="2">
        <v>6.4E-4</v>
      </c>
      <c r="C3" s="1" t="s">
        <v>6</v>
      </c>
      <c r="E3" s="2">
        <v>1.73E-8</v>
      </c>
      <c r="G3" s="1" t="s">
        <v>7</v>
      </c>
      <c r="I3" s="3">
        <v>8.33</v>
      </c>
      <c r="J3" s="4">
        <f>I6*0.01015/0.3048</f>
        <v>8.325131234</v>
      </c>
    </row>
    <row r="4">
      <c r="A4" s="1" t="s">
        <v>8</v>
      </c>
      <c r="B4" s="1">
        <f>I6/(PI()*2*B6)</f>
        <v>795.7747155</v>
      </c>
      <c r="C4" s="1" t="s">
        <v>9</v>
      </c>
      <c r="E4" s="2">
        <v>2273.68</v>
      </c>
      <c r="G4" s="1" t="s">
        <v>10</v>
      </c>
      <c r="I4" s="5">
        <f>PI()*B6^2*B5</f>
        <v>0.001767145868</v>
      </c>
    </row>
    <row r="5">
      <c r="A5" s="1" t="s">
        <v>11</v>
      </c>
      <c r="B5" s="1">
        <v>0.225</v>
      </c>
      <c r="C5" s="1" t="s">
        <v>12</v>
      </c>
      <c r="E5" s="2">
        <v>1.25663E-6</v>
      </c>
      <c r="G5" s="1" t="s">
        <v>13</v>
      </c>
      <c r="I5" s="5">
        <f>EXP(-1.42*B6/B5)</f>
        <v>0.7293835486</v>
      </c>
    </row>
    <row r="6">
      <c r="A6" s="1" t="s">
        <v>14</v>
      </c>
      <c r="B6" s="1">
        <v>0.05</v>
      </c>
      <c r="C6" s="1" t="s">
        <v>15</v>
      </c>
      <c r="E6" s="2">
        <v>4.015E-9</v>
      </c>
      <c r="G6" s="1" t="s">
        <v>16</v>
      </c>
      <c r="I6" s="1">
        <v>250.0</v>
      </c>
    </row>
    <row r="7">
      <c r="A7" s="1" t="s">
        <v>17</v>
      </c>
      <c r="B7" s="1">
        <v>60.0</v>
      </c>
    </row>
    <row r="8">
      <c r="A8" s="1" t="s">
        <v>18</v>
      </c>
      <c r="B8" s="1">
        <v>200.0</v>
      </c>
    </row>
    <row r="12">
      <c r="A12" s="1" t="s">
        <v>19</v>
      </c>
    </row>
    <row r="14">
      <c r="A14" s="1" t="s">
        <v>20</v>
      </c>
      <c r="C14" s="6">
        <f>(E6*E4*E5/SQRT(2))*((B4^2*B7/I3)/B5^2)*I5*I4</f>
        <v>0.0000009420135823</v>
      </c>
    </row>
    <row r="15">
      <c r="A15" s="1" t="s">
        <v>21</v>
      </c>
      <c r="C15" s="6">
        <f>1.29*10^-10*SQRT(I3*B8)</f>
        <v>0.000000005265349561</v>
      </c>
    </row>
    <row r="16">
      <c r="A16" s="1" t="s">
        <v>22</v>
      </c>
      <c r="C16" s="4">
        <f>C14/C15</f>
        <v>178.9080803</v>
      </c>
    </row>
  </sheetData>
  <mergeCells count="19">
    <mergeCell ref="G4:H4"/>
    <mergeCell ref="G5:H5"/>
    <mergeCell ref="A1:B1"/>
    <mergeCell ref="C1:E1"/>
    <mergeCell ref="G1:I1"/>
    <mergeCell ref="C3:D3"/>
    <mergeCell ref="G3:H3"/>
    <mergeCell ref="C4:D4"/>
    <mergeCell ref="C5:D5"/>
    <mergeCell ref="A15:B15"/>
    <mergeCell ref="A16:B16"/>
    <mergeCell ref="C16:D16"/>
    <mergeCell ref="C6:D6"/>
    <mergeCell ref="G6:H6"/>
    <mergeCell ref="C7:D7"/>
    <mergeCell ref="A12:B12"/>
    <mergeCell ref="A14:B14"/>
    <mergeCell ref="C14:D14"/>
    <mergeCell ref="C15:D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G1" s="1" t="s">
        <v>2</v>
      </c>
    </row>
    <row r="2">
      <c r="I2" s="1"/>
      <c r="J2" s="1"/>
    </row>
    <row r="3">
      <c r="A3" s="1" t="s">
        <v>5</v>
      </c>
      <c r="B3" s="2"/>
      <c r="C3" s="1" t="s">
        <v>6</v>
      </c>
      <c r="E3" s="2">
        <v>1.73E-8</v>
      </c>
      <c r="G3" s="1" t="s">
        <v>7</v>
      </c>
      <c r="I3" s="3">
        <f>10.115*I6/1000</f>
        <v>9.533162907</v>
      </c>
      <c r="J3" s="3" t="s">
        <v>23</v>
      </c>
      <c r="K3" s="1" t="s">
        <v>24</v>
      </c>
    </row>
    <row r="4">
      <c r="A4" s="1" t="s">
        <v>25</v>
      </c>
      <c r="B4" s="1">
        <v>5000.0</v>
      </c>
      <c r="C4" s="1" t="s">
        <v>9</v>
      </c>
      <c r="E4" s="2">
        <v>2273.68</v>
      </c>
      <c r="G4" s="1" t="s">
        <v>26</v>
      </c>
      <c r="I4" s="5">
        <f>(B6-B9)^2*PI()^2*B5*1000000</f>
        <v>1542.125688</v>
      </c>
    </row>
    <row r="5">
      <c r="A5" s="1" t="s">
        <v>27</v>
      </c>
      <c r="B5" s="1">
        <v>0.25</v>
      </c>
      <c r="C5" s="1" t="s">
        <v>12</v>
      </c>
      <c r="E5" s="2">
        <v>1.25663E-6</v>
      </c>
      <c r="G5" s="1"/>
    </row>
    <row r="6">
      <c r="A6" s="1" t="s">
        <v>28</v>
      </c>
      <c r="B6" s="1">
        <v>0.03</v>
      </c>
      <c r="C6" s="1" t="s">
        <v>15</v>
      </c>
      <c r="E6" s="2">
        <v>4.015E-9</v>
      </c>
      <c r="G6" s="1" t="s">
        <v>29</v>
      </c>
      <c r="I6" s="1">
        <f>B4*B6*2*PI()</f>
        <v>942.4777961</v>
      </c>
    </row>
    <row r="7">
      <c r="A7" s="1" t="s">
        <v>17</v>
      </c>
      <c r="B7" s="1">
        <v>12.0</v>
      </c>
      <c r="C7" s="1" t="s">
        <v>30</v>
      </c>
      <c r="E7" s="2">
        <v>1.41060679545E-26</v>
      </c>
      <c r="G7" s="1" t="s">
        <v>31</v>
      </c>
      <c r="I7" s="5">
        <f>2*E9/(1.67E-27*18)</f>
        <v>6.65336E+28</v>
      </c>
    </row>
    <row r="8">
      <c r="A8" s="1" t="s">
        <v>18</v>
      </c>
      <c r="B8" s="1">
        <v>200.0</v>
      </c>
      <c r="C8" s="1" t="s">
        <v>32</v>
      </c>
      <c r="E8" s="2">
        <v>1.38E-23</v>
      </c>
    </row>
    <row r="9">
      <c r="A9" s="1" t="s">
        <v>33</v>
      </c>
      <c r="B9" s="1">
        <v>0.005</v>
      </c>
      <c r="C9" s="1" t="s">
        <v>34</v>
      </c>
      <c r="E9" s="1">
        <v>1000.0</v>
      </c>
    </row>
    <row r="10">
      <c r="A10" s="1" t="s">
        <v>35</v>
      </c>
      <c r="B10" s="1">
        <v>293.0</v>
      </c>
      <c r="C10" s="1" t="s">
        <v>36</v>
      </c>
      <c r="E10" s="1">
        <v>18.0</v>
      </c>
    </row>
    <row r="12">
      <c r="A12" s="1" t="s">
        <v>19</v>
      </c>
    </row>
    <row r="14">
      <c r="A14" s="1" t="s">
        <v>37</v>
      </c>
      <c r="C14" s="6">
        <f>E6*E4*E5*B4^2*B7/I3/(2*SQRT(2))*(B5/2-SQRT((B5/2)^2-B6^2))*2</f>
        <v>0.0000009325829573</v>
      </c>
      <c r="E14" s="1" t="s">
        <v>38</v>
      </c>
    </row>
    <row r="15">
      <c r="A15" s="1" t="s">
        <v>39</v>
      </c>
      <c r="C15" s="6">
        <f>0.000000000129*SQRT(I3*B8)</f>
        <v>0.000000005632785527</v>
      </c>
    </row>
    <row r="16">
      <c r="A16" s="1" t="s">
        <v>22</v>
      </c>
      <c r="C16" s="4">
        <f>C14/C15</f>
        <v>165.5633705</v>
      </c>
    </row>
  </sheetData>
  <mergeCells count="24">
    <mergeCell ref="G4:H4"/>
    <mergeCell ref="G5:H5"/>
    <mergeCell ref="A1:B1"/>
    <mergeCell ref="C1:E1"/>
    <mergeCell ref="G1:I1"/>
    <mergeCell ref="C3:D3"/>
    <mergeCell ref="G3:H3"/>
    <mergeCell ref="C4:D4"/>
    <mergeCell ref="C5:D5"/>
    <mergeCell ref="A12:B12"/>
    <mergeCell ref="A14:B14"/>
    <mergeCell ref="C14:D14"/>
    <mergeCell ref="E14:I14"/>
    <mergeCell ref="A15:B15"/>
    <mergeCell ref="C15:D15"/>
    <mergeCell ref="A16:B16"/>
    <mergeCell ref="C16:D16"/>
    <mergeCell ref="C6:D6"/>
    <mergeCell ref="G6:H6"/>
    <mergeCell ref="C7:D7"/>
    <mergeCell ref="G7:H7"/>
    <mergeCell ref="C8:D8"/>
    <mergeCell ref="C9:D9"/>
    <mergeCell ref="C10:D10"/>
  </mergeCells>
  <drawing r:id="rId1"/>
</worksheet>
</file>